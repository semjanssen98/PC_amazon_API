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"/>
    </mc:Choice>
  </mc:AlternateContent>
  <xr:revisionPtr revIDLastSave="18" documentId="13_ncr:1_{E92FF8AD-66DC-4B8E-9C80-58E4134CF768}" xr6:coauthVersionLast="47" xr6:coauthVersionMax="47" xr10:uidLastSave="{8D65164E-72B9-4745-BC26-3EE3C75502D8}"/>
  <bookViews>
    <workbookView xWindow="-108" yWindow="-108" windowWidth="23256" windowHeight="12456" xr2:uid="{00000000-000D-0000-FFFF-FFFF00000000}"/>
  </bookViews>
  <sheets>
    <sheet name="Translated Column Headers" sheetId="1" r:id="rId1"/>
    <sheet name="Translated Type of Payment" sheetId="2" r:id="rId2"/>
    <sheet name="Translated Date Time" sheetId="5" r:id="rId3"/>
    <sheet name="Blad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9" i="4"/>
</calcChain>
</file>

<file path=xl/sharedStrings.xml><?xml version="1.0" encoding="utf-8"?>
<sst xmlns="http://schemas.openxmlformats.org/spreadsheetml/2006/main" count="528" uniqueCount="350">
  <si>
    <t>PL</t>
  </si>
  <si>
    <t>ES</t>
  </si>
  <si>
    <t>IT</t>
  </si>
  <si>
    <t>FR</t>
  </si>
  <si>
    <t>UK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</si>
  <si>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</si>
  <si>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</si>
  <si>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</si>
  <si>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</si>
  <si>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</si>
  <si>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</si>
  <si>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</si>
  <si>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</si>
  <si>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</si>
  <si>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</si>
  <si>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</si>
  <si>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</si>
  <si>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</si>
  <si>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</si>
  <si>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</si>
  <si>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</si>
  <si>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</si>
  <si>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</si>
  <si>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</si>
  <si>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</si>
  <si>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</si>
  <si>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</si>
  <si>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</si>
  <si>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</si>
  <si>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</si>
  <si>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</si>
  <si>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</si>
  <si>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27 Jan 2022 11:10:28 UTC</t>
  </si>
  <si>
    <t>Service Fee</t>
  </si>
  <si>
    <t>Amazon.co.uk</t>
  </si>
  <si>
    <t>-25.00</t>
  </si>
  <si>
    <t>data/godzina</t>
  </si>
  <si>
    <t>identyfikator rozliczenia</t>
  </si>
  <si>
    <t>Example value</t>
  </si>
  <si>
    <t>typ</t>
  </si>
  <si>
    <t>identyfikator zamówienia</t>
  </si>
  <si>
    <t>opis</t>
  </si>
  <si>
    <t>ilość</t>
  </si>
  <si>
    <t>rynek</t>
  </si>
  <si>
    <t>realizacja</t>
  </si>
  <si>
    <t>miejscowość zamówienia</t>
  </si>
  <si>
    <t>stan zamówienia</t>
  </si>
  <si>
    <t>przekaz pocztowy</t>
  </si>
  <si>
    <t>rabaty promocyjne</t>
  </si>
  <si>
    <t>opłaty za sprzedaż</t>
  </si>
  <si>
    <t>opłaty za fba</t>
  </si>
  <si>
    <t>inne opłaty transakcyjne</t>
  </si>
  <si>
    <t>inne</t>
  </si>
  <si>
    <t>suma</t>
  </si>
  <si>
    <t>sprzedaż produktów</t>
  </si>
  <si>
    <t>pobrany podatek od sprzedaży</t>
  </si>
  <si>
    <t>środki na pokrycie pakowania na prezent</t>
  </si>
  <si>
    <t>fecha y hora</t>
  </si>
  <si>
    <t>identificador de pago</t>
  </si>
  <si>
    <t>tipo</t>
  </si>
  <si>
    <t>número de pedido</t>
  </si>
  <si>
    <t>407-9203819-2035533</t>
  </si>
  <si>
    <t>X1P-B</t>
  </si>
  <si>
    <t>descripción</t>
  </si>
  <si>
    <t>cantidad</t>
  </si>
  <si>
    <t>web de Amazon</t>
  </si>
  <si>
    <t>Amazon</t>
  </si>
  <si>
    <t>gestión logística</t>
  </si>
  <si>
    <t>ciudad de procedencia del pedido</t>
  </si>
  <si>
    <t>Lleida</t>
  </si>
  <si>
    <t>comunidad autónoma de procedencia del pedido</t>
  </si>
  <si>
    <t>código postal de procedencia del pedido</t>
  </si>
  <si>
    <t>Formulario de recaudación de impuestos</t>
  </si>
  <si>
    <t>ventas de productos</t>
  </si>
  <si>
    <t>impuesto de ventas de productos</t>
  </si>
  <si>
    <t>abonos de envío</t>
  </si>
  <si>
    <t>impuestos por abonos de envío</t>
  </si>
  <si>
    <t>abonos de envoltorio para regalo</t>
  </si>
  <si>
    <t>devoluciones promocionales</t>
  </si>
  <si>
    <t>impuesto retenido en el sitio web</t>
  </si>
  <si>
    <t>tarifas de venta</t>
  </si>
  <si>
    <t>tarifas de Logística de Amazon</t>
  </si>
  <si>
    <t>tarifas de otras transacciones</t>
  </si>
  <si>
    <t>otro</t>
  </si>
  <si>
    <t>Data/Ora:</t>
  </si>
  <si>
    <t>Numero pagamento</t>
  </si>
  <si>
    <t>Tipo</t>
  </si>
  <si>
    <t>Numero ordine</t>
  </si>
  <si>
    <t>SKU</t>
  </si>
  <si>
    <t>Descrizione</t>
  </si>
  <si>
    <t>Hamilton Passeggino X1 Plus Nero, Passeggino Leggero e Compatto, Passeggini Leggeri Fino a 22 kg, Pieghevole con Una Sola Mano, con Posizione Reclinab</t>
  </si>
  <si>
    <t>Quantità</t>
  </si>
  <si>
    <t>Marketplace</t>
  </si>
  <si>
    <t>Gestione</t>
  </si>
  <si>
    <t>Città di provenienza dell'ordine</t>
  </si>
  <si>
    <t>Provincia di provenienza dell'ordine</t>
  </si>
  <si>
    <t>CAP dell'ordine</t>
  </si>
  <si>
    <t>modello di riscossione delle imposte</t>
  </si>
  <si>
    <t>Vendite</t>
  </si>
  <si>
    <t>DE</t>
  </si>
  <si>
    <t>imposta sulle vendite dei prodotti</t>
  </si>
  <si>
    <t>Accrediti per le spedizioni</t>
  </si>
  <si>
    <t>imposta accrediti per le spedizioni</t>
  </si>
  <si>
    <t>Accrediti per confezioni regalo</t>
  </si>
  <si>
    <t>imposta sui crediti confezione regalo</t>
  </si>
  <si>
    <t>Sconti promozionali</t>
  </si>
  <si>
    <t>imposta sugli sconti promozionali</t>
  </si>
  <si>
    <t>trattenuta IVA del marketplace</t>
  </si>
  <si>
    <t>Commissioni di vendita</t>
  </si>
  <si>
    <t>Costi del servizio Logistica di Amazon</t>
  </si>
  <si>
    <t>Altri costi relativi alle transazioni</t>
  </si>
  <si>
    <t>Altro</t>
  </si>
  <si>
    <t>totale</t>
  </si>
  <si>
    <t>date/heure</t>
  </si>
  <si>
    <t>numéro de versement</t>
  </si>
  <si>
    <t>numéro de la commande</t>
  </si>
  <si>
    <t>quantité</t>
  </si>
  <si>
    <t>traitement</t>
  </si>
  <si>
    <t>ville d'où provient la commande</t>
  </si>
  <si>
    <t>Région d'où provient la commande</t>
  </si>
  <si>
    <t>code postal de la commande</t>
  </si>
  <si>
    <t>Modèle de perception des taxes</t>
  </si>
  <si>
    <t>ventes de produits</t>
  </si>
  <si>
    <t>Taxes sur la vente des produits</t>
  </si>
  <si>
    <t>crédits d'expédition</t>
  </si>
  <si>
    <t>taxe sur les crédits d’expédition</t>
  </si>
  <si>
    <t>crédits sur l'emballage cadeau</t>
  </si>
  <si>
    <t>Taxes sur les crédits cadeaux</t>
  </si>
  <si>
    <t>Rabais promotionnels</t>
  </si>
  <si>
    <t>Taxes sur les remises promotionnelles</t>
  </si>
  <si>
    <t>Taxes retenues sur le site de vente</t>
  </si>
  <si>
    <t>frais de vente</t>
  </si>
  <si>
    <t>Frais Expédié par Amazon</t>
  </si>
  <si>
    <t>autres frais de transaction</t>
  </si>
  <si>
    <t>autre</t>
  </si>
  <si>
    <t>Datum/Uhrzeit</t>
  </si>
  <si>
    <t>Abrechnungsnummer</t>
  </si>
  <si>
    <t>Typ</t>
  </si>
  <si>
    <t>Bestellnummer</t>
  </si>
  <si>
    <t>Beschreibung</t>
  </si>
  <si>
    <t>Menge</t>
  </si>
  <si>
    <t>Versand</t>
  </si>
  <si>
    <t>Ort der Bestellung</t>
  </si>
  <si>
    <t>Bundesland</t>
  </si>
  <si>
    <t>Postleitzahl</t>
  </si>
  <si>
    <t>Steuererhebungsmodell</t>
  </si>
  <si>
    <t>Umsätze</t>
  </si>
  <si>
    <t>Produktumsatzsteuer</t>
  </si>
  <si>
    <t>Gutschrift für Versandkosten</t>
  </si>
  <si>
    <t>Steuer auf Versandgutschrift</t>
  </si>
  <si>
    <t>Gutschrift für Geschenkverpackung</t>
  </si>
  <si>
    <t>Steuer auf Geschenkverpackungsgutschriften</t>
  </si>
  <si>
    <t>Rabatte aus Werbeaktionen</t>
  </si>
  <si>
    <t>Steuer auf Aktionsrabatte</t>
  </si>
  <si>
    <t>Einbehaltene Steuer auf Marketplace</t>
  </si>
  <si>
    <t>Verkaufsgebühren</t>
  </si>
  <si>
    <t>Gebühren zu Versand durch Amazon</t>
  </si>
  <si>
    <t>Andere Transaktionsgebühren</t>
  </si>
  <si>
    <t>Andere</t>
  </si>
  <si>
    <t>Gesamt</t>
  </si>
  <si>
    <t>Debt</t>
  </si>
  <si>
    <t>Adjustment</t>
  </si>
  <si>
    <t>Zamówienie</t>
  </si>
  <si>
    <t>Dług</t>
  </si>
  <si>
    <t>Opłata za usługę</t>
  </si>
  <si>
    <t>Order</t>
  </si>
  <si>
    <t>Transfer</t>
  </si>
  <si>
    <t>Przelew</t>
  </si>
  <si>
    <t>Pedido</t>
  </si>
  <si>
    <t>Tarifa de prestación de servicio</t>
  </si>
  <si>
    <t>Refund</t>
  </si>
  <si>
    <t>FBA Inventory Fees</t>
  </si>
  <si>
    <t>Tariff adjustment</t>
  </si>
  <si>
    <t>Transferir</t>
  </si>
  <si>
    <t>Reembolso</t>
  </si>
  <si>
    <t>Tarifas de inventario de Logística de Amazon</t>
  </si>
  <si>
    <t>Ajuste de tarifa</t>
  </si>
  <si>
    <t>Ajuste</t>
  </si>
  <si>
    <t>Ordine</t>
  </si>
  <si>
    <t>Trasferimento</t>
  </si>
  <si>
    <t>Commissione di servizio</t>
  </si>
  <si>
    <t>Saldo negativo</t>
  </si>
  <si>
    <t>Negative balance</t>
  </si>
  <si>
    <t>Rimborso</t>
  </si>
  <si>
    <t>Costo di stoccaggio Logistica di Amazon</t>
  </si>
  <si>
    <t>Remboursement</t>
  </si>
  <si>
    <t>Transfert</t>
  </si>
  <si>
    <t>Ajustement</t>
  </si>
  <si>
    <t>Commande</t>
  </si>
  <si>
    <t>Frais de service</t>
  </si>
  <si>
    <t>Bestellung</t>
  </si>
  <si>
    <t>Übertrag</t>
  </si>
  <si>
    <t>Versand durch Amazon Lagergebühr</t>
  </si>
  <si>
    <t>Servicegebühr</t>
  </si>
  <si>
    <t>Erstattung</t>
  </si>
  <si>
    <t>Anpassung</t>
  </si>
  <si>
    <t>Liability</t>
  </si>
  <si>
    <t>Verbindlichkeit</t>
  </si>
  <si>
    <t>Verkopernummer:</t>
  </si>
  <si>
    <t>1707367</t>
  </si>
  <si>
    <t>Uitkering bol.com</t>
  </si>
  <si>
    <t>✘</t>
  </si>
  <si>
    <t>Winst en Verlies rekening:</t>
  </si>
  <si>
    <t>01-11-2022 t/m 14-11-2022</t>
  </si>
  <si>
    <t>✓</t>
  </si>
  <si>
    <t>Omzet uit verkoop NL</t>
  </si>
  <si>
    <t>-LvB</t>
  </si>
  <si>
    <t>Omzet uit verkoop BE</t>
  </si>
  <si>
    <t>Retouren NL</t>
  </si>
  <si>
    <t>Retouren BE</t>
  </si>
  <si>
    <t>Totale opbrengsten excl.</t>
  </si>
  <si>
    <t>+</t>
  </si>
  <si>
    <t>Verzendkosten bol.com</t>
  </si>
  <si>
    <t>VVB labels</t>
  </si>
  <si>
    <t>Overige pakketzegels</t>
  </si>
  <si>
    <t>Verzendkosten (LvB)</t>
  </si>
  <si>
    <t>Verzenden via bol.com - collectie</t>
  </si>
  <si>
    <t>Retourzegel(s)</t>
  </si>
  <si>
    <t>Logistieke kosten</t>
  </si>
  <si>
    <t>Pick&amp;pack (LvB)</t>
  </si>
  <si>
    <t>Voorraadkosten (LvB)</t>
  </si>
  <si>
    <t>Onverkoopbare voorraadkosten (LvB)</t>
  </si>
  <si>
    <t>BSKU labelkosten (LvB)</t>
  </si>
  <si>
    <t>Zoekgeraakte artikelen</t>
  </si>
  <si>
    <t>Compensatie</t>
  </si>
  <si>
    <t>Commissie bol.com</t>
  </si>
  <si>
    <t>Commissie Platform Control</t>
  </si>
  <si>
    <t>Totale kosten excl.</t>
  </si>
  <si>
    <t>-</t>
  </si>
  <si>
    <t>Resutaat</t>
  </si>
  <si>
    <t>date_time</t>
  </si>
  <si>
    <t>settlement_id</t>
  </si>
  <si>
    <t>order_id</t>
  </si>
  <si>
    <t>order_city</t>
  </si>
  <si>
    <t>order_state</t>
  </si>
  <si>
    <t>order_postal</t>
  </si>
  <si>
    <t>tax_collection_model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</si>
  <si>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</si>
  <si>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</si>
  <si>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</si>
  <si>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</si>
  <si>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</si>
  <si>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</si>
  <si>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</si>
  <si>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</si>
  <si>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marketplace_withheld_tax</t>
  </si>
  <si>
    <t>selling_fees</t>
  </si>
  <si>
    <t>fba_fees</t>
  </si>
  <si>
    <t>other_transaction_fees</t>
  </si>
  <si>
    <t>NL</t>
  </si>
  <si>
    <t>datum/tijd</t>
  </si>
  <si>
    <t>schikkings-ID</t>
  </si>
  <si>
    <t>bestelnummer</t>
  </si>
  <si>
    <t>beschrijving</t>
  </si>
  <si>
    <t>aantal</t>
  </si>
  <si>
    <t>fulfillment</t>
  </si>
  <si>
    <t>bestelling stad</t>
  </si>
  <si>
    <t>status bestelling</t>
  </si>
  <si>
    <t>bestelling per post</t>
  </si>
  <si>
    <t>verkoop van producten</t>
  </si>
  <si>
    <t>Verzendtegoeden</t>
  </si>
  <si>
    <t>kredietpunten cadeauverpakking</t>
  </si>
  <si>
    <t>promotiekortingen</t>
  </si>
  <si>
    <t>Belasting voor marketplace-facilitator</t>
  </si>
  <si>
    <t>verkoopkosten</t>
  </si>
  <si>
    <t>fba-vergoedingen</t>
  </si>
  <si>
    <t>overige transactiekosten</t>
  </si>
  <si>
    <t>overige</t>
  </si>
  <si>
    <t>totaal</t>
  </si>
  <si>
    <t>geïnde omzetbelasting</t>
  </si>
  <si>
    <t>UNKNOWN VALUE</t>
  </si>
  <si>
    <t>noty kredytowe za wysyłkę</t>
  </si>
  <si>
    <t>Bestelling</t>
  </si>
  <si>
    <t>Terugbetaling</t>
  </si>
  <si>
    <t>Overboeking</t>
  </si>
  <si>
    <t>Marketplace Facilitator Tax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</si>
  <si>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</si>
  <si>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</si>
  <si>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</si>
  <si>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</si>
  <si>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</si>
  <si>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</si>
  <si>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</si>
  <si>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</si>
  <si>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</si>
  <si>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</si>
  <si>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</si>
  <si>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</si>
  <si>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</si>
  <si>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</si>
  <si>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</si>
  <si>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</si>
  <si>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</si>
  <si>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</si>
  <si>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</si>
  <si>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</si>
  <si>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</si>
  <si>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</si>
  <si>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</si>
  <si>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</si>
  <si>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</si>
  <si>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</si>
  <si>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</si>
  <si>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</si>
  <si>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</si>
  <si>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</si>
  <si>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</si>
  <si>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</si>
  <si>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</si>
  <si>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</si>
  <si>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</si>
  <si>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</si>
  <si>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Gennaio</t>
  </si>
  <si>
    <t>Febbraio</t>
  </si>
  <si>
    <t>aprile</t>
  </si>
  <si>
    <t>maggio</t>
  </si>
  <si>
    <t>giugno</t>
  </si>
  <si>
    <t>luglio</t>
  </si>
  <si>
    <t>settembre</t>
  </si>
  <si>
    <t>ottobre</t>
  </si>
  <si>
    <t>Novembre</t>
  </si>
  <si>
    <t>Dicembre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</si>
  <si>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</si>
  <si>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</si>
  <si>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</si>
  <si>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</si>
  <si>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</si>
  <si>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</si>
  <si>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</si>
  <si>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</si>
  <si>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</si>
  <si>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</si>
  <si>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Décembre</t>
  </si>
  <si>
    <t>Januar</t>
  </si>
  <si>
    <t>Februar</t>
  </si>
  <si>
    <t>März</t>
  </si>
  <si>
    <t>Juni</t>
  </si>
  <si>
    <t>Juli</t>
  </si>
  <si>
    <t>Oktober</t>
  </si>
  <si>
    <t>Dezember</t>
  </si>
  <si>
    <t>Januari</t>
  </si>
  <si>
    <t>Februari</t>
  </si>
  <si>
    <t>Maart</t>
  </si>
  <si>
    <t>Mei</t>
  </si>
  <si>
    <t>Augustus</t>
  </si>
  <si>
    <t>Frais de stock Expédié par Amazon</t>
  </si>
  <si>
    <t>Deal fee</t>
  </si>
  <si>
    <t>Tarifa de Oferta flash</t>
  </si>
  <si>
    <t>Tarif de la Vente Flash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</si>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</sst>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pane xSplit="1" topLeftCell="F1" activePane="topRight" state="frozen"/>
      <selection pane="topRight" activeCell="A11" sqref="A11"/>
    </sheetView>
  </sheetViews>
  <sheetFormatPr defaultRowHeight="14.4" x14ac:dyDescent="0.3"/>
  <cols>
    <col min="1" max="1" width="13.33203125" bestFit="1" customWidth="1"/>
    <col min="2" max="2" width="22.109375" bestFit="1" customWidth="1"/>
    <col min="3" max="3" width="21.77734375" bestFit="1" customWidth="1"/>
    <col min="4" max="4" width="10.6640625" bestFit="1" customWidth="1"/>
    <col min="5" max="5" width="23" bestFit="1" customWidth="1"/>
    <col min="6" max="6" width="5.77734375" bestFit="1" customWidth="1"/>
    <col min="7" max="7" width="11.44140625" bestFit="1" customWidth="1"/>
    <col min="8" max="8" width="8" bestFit="1" customWidth="1"/>
    <col min="9" max="9" width="12.77734375" customWidth="1"/>
    <col min="10" max="10" width="8.88671875" bestFit="1" customWidth="1"/>
    <col min="11" max="11" width="8.77734375" bestFit="1" customWidth="1"/>
    <col min="12" max="12" width="10" bestFit="1" customWidth="1"/>
    <col min="13" max="13" width="11" bestFit="1" customWidth="1"/>
    <col min="14" max="14" width="17.6640625" bestFit="1" customWidth="1"/>
    <col min="15" max="15" width="11.88671875" bestFit="1" customWidth="1"/>
    <col min="16" max="16" width="15" bestFit="1" customWidth="1"/>
    <col min="17" max="17" width="13.44140625" bestFit="1" customWidth="1"/>
    <col min="18" max="18" width="17" bestFit="1" customWidth="1"/>
    <col min="19" max="19" width="14.21875" bestFit="1" customWidth="1"/>
    <col min="20" max="20" width="16.77734375" bestFit="1" customWidth="1"/>
    <col min="21" max="21" width="18.109375" bestFit="1" customWidth="1"/>
    <col min="22" max="22" width="21.21875" bestFit="1" customWidth="1"/>
    <col min="23" max="23" width="22.109375" bestFit="1" customWidth="1"/>
    <col min="24" max="24" width="9.88671875" bestFit="1" customWidth="1"/>
    <col min="25" max="25" width="7.44140625" bestFit="1" customWidth="1"/>
    <col min="26" max="26" width="19.21875" bestFit="1" customWidth="1"/>
    <col min="27" max="28" width="6" bestFit="1" customWidth="1"/>
  </cols>
  <sheetData>
    <row r="1" spans="1:28" x14ac:dyDescent="0.3">
      <c r="A1" t="s">
        <v>38</v>
      </c>
      <c r="B1" t="s">
        <v>32</v>
      </c>
      <c r="C1">
        <v>16909616522</v>
      </c>
      <c r="D1" t="s">
        <v>33</v>
      </c>
      <c r="E1" t="s">
        <v>61</v>
      </c>
      <c r="F1" t="s">
        <v>62</v>
      </c>
      <c r="G1" t="s">
        <v>90</v>
      </c>
      <c r="H1">
        <v>1</v>
      </c>
      <c r="I1" t="s">
        <v>34</v>
      </c>
      <c r="J1" t="s">
        <v>66</v>
      </c>
      <c r="K1" t="s">
        <v>69</v>
      </c>
      <c r="L1" t="s">
        <v>69</v>
      </c>
      <c r="M1">
        <v>25005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 t="s">
        <v>35</v>
      </c>
      <c r="AB1" t="s">
        <v>35</v>
      </c>
    </row>
    <row r="2" spans="1:28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</row>
    <row r="3" spans="1:28" x14ac:dyDescent="0.3">
      <c r="A3" t="s">
        <v>0</v>
      </c>
      <c r="B3" t="s">
        <v>36</v>
      </c>
      <c r="C3" t="s">
        <v>37</v>
      </c>
      <c r="D3" t="s">
        <v>39</v>
      </c>
      <c r="E3" t="s">
        <v>40</v>
      </c>
      <c r="F3" t="s">
        <v>9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270</v>
      </c>
      <c r="O3" t="s">
        <v>54</v>
      </c>
      <c r="P3" t="s">
        <v>55</v>
      </c>
      <c r="Q3" t="s">
        <v>271</v>
      </c>
      <c r="R3" t="s">
        <v>270</v>
      </c>
      <c r="S3" t="s">
        <v>56</v>
      </c>
      <c r="T3" t="s">
        <v>270</v>
      </c>
      <c r="U3" t="s">
        <v>48</v>
      </c>
      <c r="V3" t="s">
        <v>270</v>
      </c>
      <c r="W3" t="s">
        <v>275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</row>
    <row r="4" spans="1:28" x14ac:dyDescent="0.3">
      <c r="A4" t="s">
        <v>1</v>
      </c>
      <c r="B4" t="s">
        <v>57</v>
      </c>
      <c r="C4" t="s">
        <v>58</v>
      </c>
      <c r="D4" t="s">
        <v>59</v>
      </c>
      <c r="E4" t="s">
        <v>60</v>
      </c>
      <c r="F4" t="s">
        <v>9</v>
      </c>
      <c r="G4" t="s">
        <v>63</v>
      </c>
      <c r="H4" t="s">
        <v>64</v>
      </c>
      <c r="I4" t="s">
        <v>65</v>
      </c>
      <c r="J4" t="s">
        <v>67</v>
      </c>
      <c r="K4" t="s">
        <v>68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23</v>
      </c>
      <c r="U4" t="s">
        <v>78</v>
      </c>
      <c r="V4" t="s">
        <v>25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31</v>
      </c>
    </row>
    <row r="5" spans="1:28" x14ac:dyDescent="0.3">
      <c r="A5" t="s">
        <v>2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112</v>
      </c>
    </row>
    <row r="6" spans="1:28" x14ac:dyDescent="0.3">
      <c r="A6" t="s">
        <v>3</v>
      </c>
      <c r="B6" t="s">
        <v>113</v>
      </c>
      <c r="C6" t="s">
        <v>114</v>
      </c>
      <c r="D6" t="s">
        <v>7</v>
      </c>
      <c r="E6" t="s">
        <v>115</v>
      </c>
      <c r="F6" t="s">
        <v>9</v>
      </c>
      <c r="G6" t="s">
        <v>10</v>
      </c>
      <c r="H6" t="s">
        <v>116</v>
      </c>
      <c r="I6" t="s">
        <v>92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130</v>
      </c>
      <c r="X6" t="s">
        <v>131</v>
      </c>
      <c r="Y6" t="s">
        <v>132</v>
      </c>
      <c r="Z6" t="s">
        <v>133</v>
      </c>
      <c r="AA6" t="s">
        <v>134</v>
      </c>
      <c r="AB6" t="s">
        <v>31</v>
      </c>
    </row>
    <row r="7" spans="1:28" x14ac:dyDescent="0.3">
      <c r="A7" t="s">
        <v>99</v>
      </c>
      <c r="B7" t="s">
        <v>135</v>
      </c>
      <c r="C7" t="s">
        <v>136</v>
      </c>
      <c r="D7" t="s">
        <v>137</v>
      </c>
      <c r="E7" t="s">
        <v>138</v>
      </c>
      <c r="F7" t="s">
        <v>88</v>
      </c>
      <c r="G7" t="s">
        <v>139</v>
      </c>
      <c r="H7" t="s">
        <v>140</v>
      </c>
      <c r="I7" t="s">
        <v>92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  <c r="Q7" t="s">
        <v>148</v>
      </c>
      <c r="R7" t="s">
        <v>149</v>
      </c>
      <c r="S7" t="s">
        <v>150</v>
      </c>
      <c r="T7" t="s">
        <v>151</v>
      </c>
      <c r="U7" t="s">
        <v>152</v>
      </c>
      <c r="V7" t="s">
        <v>153</v>
      </c>
      <c r="W7" t="s">
        <v>154</v>
      </c>
      <c r="X7" t="s">
        <v>155</v>
      </c>
      <c r="Y7" t="s">
        <v>156</v>
      </c>
      <c r="Z7" t="s">
        <v>157</v>
      </c>
      <c r="AA7" t="s">
        <v>158</v>
      </c>
      <c r="AB7" t="s">
        <v>159</v>
      </c>
    </row>
    <row r="8" spans="1:28" x14ac:dyDescent="0.3">
      <c r="A8" t="s">
        <v>249</v>
      </c>
      <c r="B8" t="s">
        <v>250</v>
      </c>
      <c r="C8" t="s">
        <v>251</v>
      </c>
      <c r="D8" t="s">
        <v>7</v>
      </c>
      <c r="E8" t="s">
        <v>252</v>
      </c>
      <c r="F8" t="s">
        <v>9</v>
      </c>
      <c r="G8" t="s">
        <v>253</v>
      </c>
      <c r="H8" t="s">
        <v>254</v>
      </c>
      <c r="I8" t="s">
        <v>12</v>
      </c>
      <c r="J8" t="s">
        <v>255</v>
      </c>
      <c r="K8" t="s">
        <v>256</v>
      </c>
      <c r="L8" t="s">
        <v>257</v>
      </c>
      <c r="M8" t="s">
        <v>258</v>
      </c>
      <c r="N8" t="s">
        <v>270</v>
      </c>
      <c r="O8" t="s">
        <v>259</v>
      </c>
      <c r="P8" t="s">
        <v>269</v>
      </c>
      <c r="Q8" t="s">
        <v>260</v>
      </c>
      <c r="R8" t="s">
        <v>270</v>
      </c>
      <c r="S8" t="s">
        <v>261</v>
      </c>
      <c r="T8" t="s">
        <v>270</v>
      </c>
      <c r="U8" t="s">
        <v>262</v>
      </c>
      <c r="V8" t="s">
        <v>270</v>
      </c>
      <c r="W8" t="s">
        <v>263</v>
      </c>
      <c r="X8" t="s">
        <v>264</v>
      </c>
      <c r="Y8" t="s">
        <v>265</v>
      </c>
      <c r="Z8" t="s">
        <v>266</v>
      </c>
      <c r="AA8" t="s">
        <v>267</v>
      </c>
      <c r="AB8" t="s">
        <v>268</v>
      </c>
    </row>
    <row r="9" spans="1:28" x14ac:dyDescent="0.3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  <c r="R9" t="s">
        <v>21</v>
      </c>
      <c r="S9" t="s">
        <v>22</v>
      </c>
      <c r="T9" t="s">
        <v>23</v>
      </c>
      <c r="U9" t="s">
        <v>24</v>
      </c>
      <c r="V9" t="s">
        <v>25</v>
      </c>
      <c r="W9" t="s">
        <v>26</v>
      </c>
      <c r="X9" t="s">
        <v>27</v>
      </c>
      <c r="Y9" t="s">
        <v>28</v>
      </c>
      <c r="Z9" t="s">
        <v>29</v>
      </c>
      <c r="AA9" t="s">
        <v>30</v>
      </c>
      <c r="AB9" t="s">
        <v>31</v>
      </c>
    </row>
    <row r="10" spans="1:28" x14ac:dyDescent="0.3">
      <c r="A10" t="s">
        <v>349</v>
      </c>
      <c r="B10" t="s">
        <v>113</v>
      </c>
      <c r="C10" t="s">
        <v>114</v>
      </c>
      <c r="D10" t="s">
        <v>7</v>
      </c>
      <c r="E10" t="s">
        <v>115</v>
      </c>
      <c r="F10" t="s">
        <v>9</v>
      </c>
      <c r="G10" t="s">
        <v>10</v>
      </c>
      <c r="H10" t="s">
        <v>116</v>
      </c>
      <c r="I10" t="s">
        <v>92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127</v>
      </c>
      <c r="U10" t="s">
        <v>128</v>
      </c>
      <c r="V10" t="s">
        <v>129</v>
      </c>
      <c r="W10" t="s">
        <v>130</v>
      </c>
      <c r="X10" t="s">
        <v>131</v>
      </c>
      <c r="Y10" t="s">
        <v>132</v>
      </c>
      <c r="Z10" t="s">
        <v>133</v>
      </c>
      <c r="AA10" t="s">
        <v>134</v>
      </c>
      <c r="AB10" t="s">
        <v>31</v>
      </c>
    </row>
  </sheetData>
  <conditionalFormatting sqref="A2:AB8">
    <cfRule type="cellIs" dxfId="6" priority="3" operator="equal">
      <formula>"UNKNOWN VALUE"</formula>
    </cfRule>
    <cfRule type="containsBlanks" dxfId="5" priority="4">
      <formula>LEN(TRIM(A2))=0</formula>
    </cfRule>
  </conditionalFormatting>
  <conditionalFormatting sqref="A10:AB10">
    <cfRule type="cellIs" dxfId="2" priority="1" operator="equal">
      <formula>"UNKNOWN VALUE"</formula>
    </cfRule>
    <cfRule type="containsBlanks" dxfId="1" priority="2">
      <formula>LEN(TRIM(A10))=0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B127-A19F-4702-8FFE-9ADA8FEBE6BA}">
  <dimension ref="A2:L10"/>
  <sheetViews>
    <sheetView topLeftCell="A4" zoomScale="85" zoomScaleNormal="85" workbookViewId="0">
      <selection activeCell="A11" sqref="A11"/>
    </sheetView>
  </sheetViews>
  <sheetFormatPr defaultRowHeight="14.4" x14ac:dyDescent="0.3"/>
  <cols>
    <col min="1" max="1" width="13.33203125" bestFit="1" customWidth="1"/>
    <col min="2" max="2" width="27.6640625" bestFit="1" customWidth="1"/>
    <col min="3" max="3" width="5" customWidth="1"/>
    <col min="4" max="4" width="10.88671875" bestFit="1" customWidth="1"/>
    <col min="5" max="5" width="11.44140625" bestFit="1" customWidth="1"/>
    <col min="6" max="6" width="13.109375" bestFit="1" customWidth="1"/>
    <col min="7" max="7" width="15.21875" bestFit="1" customWidth="1"/>
    <col min="8" max="8" width="39.109375" bestFit="1" customWidth="1"/>
    <col min="9" max="10" width="15.6640625" bestFit="1" customWidth="1"/>
    <col min="11" max="11" width="14.21875" bestFit="1" customWidth="1"/>
    <col min="12" max="12" width="20.21875" bestFit="1" customWidth="1"/>
  </cols>
  <sheetData>
    <row r="2" spans="1:12" s="1" customFormat="1" x14ac:dyDescent="0.3">
      <c r="A2" s="1" t="s">
        <v>4</v>
      </c>
      <c r="B2" s="1" t="s">
        <v>33</v>
      </c>
      <c r="C2" s="1" t="s">
        <v>160</v>
      </c>
      <c r="D2" s="1" t="s">
        <v>161</v>
      </c>
      <c r="E2" s="2" t="s">
        <v>165</v>
      </c>
      <c r="F2" s="2" t="s">
        <v>166</v>
      </c>
      <c r="G2" s="2" t="s">
        <v>170</v>
      </c>
      <c r="H2" s="2" t="s">
        <v>171</v>
      </c>
      <c r="I2" s="2" t="s">
        <v>172</v>
      </c>
      <c r="J2" s="2" t="s">
        <v>182</v>
      </c>
      <c r="K2" s="2" t="s">
        <v>196</v>
      </c>
      <c r="L2" s="2" t="s">
        <v>346</v>
      </c>
    </row>
    <row r="3" spans="1:12" x14ac:dyDescent="0.3">
      <c r="A3" t="s">
        <v>0</v>
      </c>
      <c r="B3" t="s">
        <v>164</v>
      </c>
      <c r="C3" t="s">
        <v>163</v>
      </c>
      <c r="E3" t="s">
        <v>162</v>
      </c>
      <c r="F3" t="s">
        <v>167</v>
      </c>
    </row>
    <row r="4" spans="1:12" x14ac:dyDescent="0.3">
      <c r="A4" t="s">
        <v>1</v>
      </c>
      <c r="B4" t="s">
        <v>169</v>
      </c>
      <c r="D4" t="s">
        <v>177</v>
      </c>
      <c r="E4" t="s">
        <v>168</v>
      </c>
      <c r="F4" t="s">
        <v>173</v>
      </c>
      <c r="G4" t="s">
        <v>174</v>
      </c>
      <c r="H4" t="s">
        <v>175</v>
      </c>
      <c r="I4" t="s">
        <v>176</v>
      </c>
      <c r="L4" t="s">
        <v>347</v>
      </c>
    </row>
    <row r="5" spans="1:12" x14ac:dyDescent="0.3">
      <c r="A5" t="s">
        <v>2</v>
      </c>
      <c r="B5" t="s">
        <v>180</v>
      </c>
      <c r="E5" t="s">
        <v>178</v>
      </c>
      <c r="F5" t="s">
        <v>179</v>
      </c>
      <c r="G5" t="s">
        <v>183</v>
      </c>
      <c r="H5" t="s">
        <v>184</v>
      </c>
      <c r="J5" t="s">
        <v>181</v>
      </c>
    </row>
    <row r="6" spans="1:12" x14ac:dyDescent="0.3">
      <c r="A6" t="s">
        <v>3</v>
      </c>
      <c r="B6" t="s">
        <v>189</v>
      </c>
      <c r="D6" t="s">
        <v>187</v>
      </c>
      <c r="E6" t="s">
        <v>188</v>
      </c>
      <c r="F6" t="s">
        <v>186</v>
      </c>
      <c r="G6" t="s">
        <v>185</v>
      </c>
      <c r="H6" t="s">
        <v>345</v>
      </c>
      <c r="L6" t="s">
        <v>348</v>
      </c>
    </row>
    <row r="7" spans="1:12" x14ac:dyDescent="0.3">
      <c r="A7" t="s">
        <v>99</v>
      </c>
      <c r="B7" t="s">
        <v>193</v>
      </c>
      <c r="D7" t="s">
        <v>195</v>
      </c>
      <c r="E7" t="s">
        <v>190</v>
      </c>
      <c r="F7" t="s">
        <v>191</v>
      </c>
      <c r="G7" t="s">
        <v>194</v>
      </c>
      <c r="H7" t="s">
        <v>192</v>
      </c>
      <c r="K7" t="s">
        <v>197</v>
      </c>
    </row>
    <row r="8" spans="1:12" x14ac:dyDescent="0.3">
      <c r="A8" t="s">
        <v>249</v>
      </c>
      <c r="E8" t="s">
        <v>272</v>
      </c>
      <c r="F8" t="s">
        <v>274</v>
      </c>
      <c r="G8" t="s">
        <v>273</v>
      </c>
    </row>
    <row r="9" spans="1:12" x14ac:dyDescent="0.3">
      <c r="A9" t="s">
        <v>4</v>
      </c>
      <c r="B9" t="s">
        <v>33</v>
      </c>
      <c r="C9" t="s">
        <v>160</v>
      </c>
      <c r="D9" t="s">
        <v>161</v>
      </c>
      <c r="E9" t="s">
        <v>165</v>
      </c>
      <c r="F9" t="s">
        <v>166</v>
      </c>
      <c r="G9" t="s">
        <v>170</v>
      </c>
      <c r="H9" t="s">
        <v>171</v>
      </c>
      <c r="I9" t="s">
        <v>172</v>
      </c>
      <c r="J9" t="s">
        <v>182</v>
      </c>
      <c r="K9" t="s">
        <v>196</v>
      </c>
      <c r="L9" t="s">
        <v>346</v>
      </c>
    </row>
    <row r="10" spans="1:12" x14ac:dyDescent="0.3">
      <c r="A10" t="s">
        <v>349</v>
      </c>
      <c r="B10" t="s">
        <v>189</v>
      </c>
      <c r="D10" t="s">
        <v>187</v>
      </c>
      <c r="E10" t="s">
        <v>188</v>
      </c>
      <c r="F10" t="s">
        <v>186</v>
      </c>
      <c r="G10" t="s">
        <v>185</v>
      </c>
      <c r="H10" t="s">
        <v>345</v>
      </c>
      <c r="L10" t="s">
        <v>348</v>
      </c>
    </row>
  </sheetData>
  <conditionalFormatting sqref="A3:L8">
    <cfRule type="containsBlanks" dxfId="4" priority="3">
      <formula>LEN(TRIM(A3))=0</formula>
    </cfRule>
  </conditionalFormatting>
  <conditionalFormatting sqref="A10:L10">
    <cfRule type="containsBlanks" dxfId="0" priority="1">
      <formula>LEN(TRIM(A10))=0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E9EF-3537-4EA0-998C-1C88FD6E0831}">
  <dimension ref="A1:M15"/>
  <sheetViews>
    <sheetView workbookViewId="0">
      <selection activeCell="A11" sqref="A11"/>
    </sheetView>
  </sheetViews>
  <sheetFormatPr defaultRowHeight="14.4" x14ac:dyDescent="0.3"/>
  <cols>
    <col min="1" max="1" width="3.33203125" bestFit="1" customWidth="1"/>
    <col min="2" max="2" width="8.21875" style="1" bestFit="1" customWidth="1"/>
    <col min="3" max="3" width="8.5546875" style="1" bestFit="1" customWidth="1"/>
    <col min="4" max="4" width="7.109375" style="1" bestFit="1" customWidth="1"/>
    <col min="5" max="5" width="8.88671875" style="1" bestFit="1" customWidth="1"/>
    <col min="6" max="6" width="7.21875" style="1" bestFit="1" customWidth="1"/>
    <col min="7" max="7" width="8.77734375" style="1" bestFit="1" customWidth="1"/>
    <col min="8" max="8" width="6.21875" style="1" bestFit="1" customWidth="1"/>
    <col min="9" max="9" width="8.88671875" style="1" bestFit="1" customWidth="1"/>
    <col min="10" max="10" width="11.109375" style="1" bestFit="1" customWidth="1"/>
    <col min="11" max="11" width="10.77734375" style="1" bestFit="1" customWidth="1"/>
    <col min="12" max="12" width="10.6640625" style="1" bestFit="1" customWidth="1"/>
    <col min="13" max="13" width="9.88671875" style="1" bestFit="1" customWidth="1"/>
  </cols>
  <sheetData>
    <row r="1" spans="1:13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4</v>
      </c>
      <c r="B2" s="1" t="s">
        <v>276</v>
      </c>
      <c r="C2" s="1" t="s">
        <v>277</v>
      </c>
      <c r="D2" s="1" t="s">
        <v>278</v>
      </c>
      <c r="E2" s="1" t="s">
        <v>279</v>
      </c>
      <c r="F2" s="1" t="s">
        <v>280</v>
      </c>
      <c r="G2" s="1" t="s">
        <v>281</v>
      </c>
      <c r="H2" s="1" t="s">
        <v>282</v>
      </c>
      <c r="I2" s="1" t="s">
        <v>283</v>
      </c>
      <c r="J2" s="1" t="s">
        <v>284</v>
      </c>
      <c r="K2" s="1" t="s">
        <v>285</v>
      </c>
      <c r="L2" s="1" t="s">
        <v>286</v>
      </c>
      <c r="M2" s="1" t="s">
        <v>287</v>
      </c>
    </row>
    <row r="3" spans="1:13" x14ac:dyDescent="0.3">
      <c r="A3" t="s">
        <v>0</v>
      </c>
      <c r="B3" t="s">
        <v>288</v>
      </c>
      <c r="C3" t="s">
        <v>289</v>
      </c>
      <c r="D3" t="s">
        <v>290</v>
      </c>
      <c r="E3" t="s">
        <v>291</v>
      </c>
      <c r="F3" t="s">
        <v>292</v>
      </c>
      <c r="G3" t="s">
        <v>293</v>
      </c>
      <c r="H3" t="s">
        <v>294</v>
      </c>
      <c r="I3" t="s">
        <v>295</v>
      </c>
      <c r="J3" t="s">
        <v>296</v>
      </c>
      <c r="K3" t="s">
        <v>297</v>
      </c>
      <c r="L3" t="s">
        <v>298</v>
      </c>
      <c r="M3" t="s">
        <v>299</v>
      </c>
    </row>
    <row r="4" spans="1:13" x14ac:dyDescent="0.3">
      <c r="A4" t="s">
        <v>1</v>
      </c>
      <c r="B4" t="s">
        <v>300</v>
      </c>
      <c r="C4" t="s">
        <v>301</v>
      </c>
      <c r="D4" t="s">
        <v>302</v>
      </c>
      <c r="E4" t="s">
        <v>303</v>
      </c>
      <c r="F4" t="s">
        <v>304</v>
      </c>
      <c r="G4" t="s">
        <v>305</v>
      </c>
      <c r="H4" t="s">
        <v>306</v>
      </c>
      <c r="I4" t="s">
        <v>307</v>
      </c>
      <c r="J4" t="s">
        <v>308</v>
      </c>
      <c r="K4" t="s">
        <v>309</v>
      </c>
      <c r="L4" t="s">
        <v>310</v>
      </c>
      <c r="M4" t="s">
        <v>311</v>
      </c>
    </row>
    <row r="5" spans="1:13" x14ac:dyDescent="0.3">
      <c r="A5" t="s">
        <v>2</v>
      </c>
      <c r="B5" t="s">
        <v>312</v>
      </c>
      <c r="C5" t="s">
        <v>313</v>
      </c>
      <c r="D5" t="s">
        <v>302</v>
      </c>
      <c r="E5" t="s">
        <v>314</v>
      </c>
      <c r="F5" t="s">
        <v>315</v>
      </c>
      <c r="G5" t="s">
        <v>316</v>
      </c>
      <c r="H5" t="s">
        <v>317</v>
      </c>
      <c r="I5" t="s">
        <v>307</v>
      </c>
      <c r="J5" t="s">
        <v>318</v>
      </c>
      <c r="K5" t="s">
        <v>319</v>
      </c>
      <c r="L5" t="s">
        <v>320</v>
      </c>
      <c r="M5" t="s">
        <v>321</v>
      </c>
    </row>
    <row r="6" spans="1:13" x14ac:dyDescent="0.3">
      <c r="A6" t="s">
        <v>3</v>
      </c>
      <c r="B6" t="s">
        <v>322</v>
      </c>
      <c r="C6" t="s">
        <v>323</v>
      </c>
      <c r="D6" t="s">
        <v>324</v>
      </c>
      <c r="E6" t="s">
        <v>325</v>
      </c>
      <c r="F6" t="s">
        <v>326</v>
      </c>
      <c r="G6" t="s">
        <v>327</v>
      </c>
      <c r="H6" t="s">
        <v>328</v>
      </c>
      <c r="I6" t="s">
        <v>329</v>
      </c>
      <c r="J6" t="s">
        <v>330</v>
      </c>
      <c r="K6" t="s">
        <v>331</v>
      </c>
      <c r="L6" t="s">
        <v>320</v>
      </c>
      <c r="M6" t="s">
        <v>332</v>
      </c>
    </row>
    <row r="7" spans="1:13" x14ac:dyDescent="0.3">
      <c r="A7" t="s">
        <v>99</v>
      </c>
      <c r="B7" t="s">
        <v>333</v>
      </c>
      <c r="C7" t="s">
        <v>334</v>
      </c>
      <c r="D7" t="s">
        <v>335</v>
      </c>
      <c r="E7" t="s">
        <v>279</v>
      </c>
      <c r="F7" t="s">
        <v>326</v>
      </c>
      <c r="G7" t="s">
        <v>336</v>
      </c>
      <c r="H7" t="s">
        <v>337</v>
      </c>
      <c r="I7" t="s">
        <v>283</v>
      </c>
      <c r="J7" t="s">
        <v>284</v>
      </c>
      <c r="K7" t="s">
        <v>338</v>
      </c>
      <c r="L7" t="s">
        <v>286</v>
      </c>
      <c r="M7" t="s">
        <v>339</v>
      </c>
    </row>
    <row r="8" spans="1:13" x14ac:dyDescent="0.3">
      <c r="A8" t="s">
        <v>249</v>
      </c>
      <c r="B8" t="s">
        <v>340</v>
      </c>
      <c r="C8" t="s">
        <v>341</v>
      </c>
      <c r="D8" t="s">
        <v>342</v>
      </c>
      <c r="E8" t="s">
        <v>279</v>
      </c>
      <c r="F8" t="s">
        <v>343</v>
      </c>
      <c r="G8" t="s">
        <v>336</v>
      </c>
      <c r="H8" t="s">
        <v>337</v>
      </c>
      <c r="I8" t="s">
        <v>344</v>
      </c>
      <c r="J8" t="s">
        <v>284</v>
      </c>
      <c r="K8" t="s">
        <v>338</v>
      </c>
      <c r="L8" t="s">
        <v>286</v>
      </c>
      <c r="M8" t="s">
        <v>287</v>
      </c>
    </row>
    <row r="9" spans="1:13" x14ac:dyDescent="0.3">
      <c r="A9" t="s">
        <v>4</v>
      </c>
      <c r="B9" t="s">
        <v>276</v>
      </c>
      <c r="C9" t="s">
        <v>277</v>
      </c>
      <c r="D9" t="s">
        <v>278</v>
      </c>
      <c r="E9" t="s">
        <v>279</v>
      </c>
      <c r="F9" t="s">
        <v>280</v>
      </c>
      <c r="G9" t="s">
        <v>281</v>
      </c>
      <c r="H9" t="s">
        <v>282</v>
      </c>
      <c r="I9" t="s">
        <v>283</v>
      </c>
      <c r="J9" t="s">
        <v>284</v>
      </c>
      <c r="K9" t="s">
        <v>285</v>
      </c>
      <c r="L9" t="s">
        <v>286</v>
      </c>
      <c r="M9" t="s">
        <v>287</v>
      </c>
    </row>
    <row r="10" spans="1:13" x14ac:dyDescent="0.3">
      <c r="A10" t="s">
        <v>349</v>
      </c>
      <c r="B10" t="s">
        <v>322</v>
      </c>
      <c r="C10" t="s">
        <v>323</v>
      </c>
      <c r="D10" t="s">
        <v>324</v>
      </c>
      <c r="E10" t="s">
        <v>325</v>
      </c>
      <c r="F10" t="s">
        <v>326</v>
      </c>
      <c r="G10" t="s">
        <v>327</v>
      </c>
      <c r="H10" t="s">
        <v>328</v>
      </c>
      <c r="I10" t="s">
        <v>329</v>
      </c>
      <c r="J10" t="s">
        <v>330</v>
      </c>
      <c r="K10" t="s">
        <v>331</v>
      </c>
      <c r="L10" t="s">
        <v>320</v>
      </c>
      <c r="M10" t="s">
        <v>332</v>
      </c>
    </row>
    <row r="11" spans="1:13" x14ac:dyDescent="0.3"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3"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3"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3"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3">
      <c r="B15"/>
      <c r="C15"/>
      <c r="D15"/>
      <c r="E15"/>
      <c r="F15"/>
      <c r="G15"/>
      <c r="H15"/>
      <c r="I15"/>
      <c r="J15"/>
      <c r="K15"/>
      <c r="L15"/>
      <c r="M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444B-E6F0-451D-9C4C-CC830502EDFB}">
  <dimension ref="A2:I35"/>
  <sheetViews>
    <sheetView topLeftCell="A2" workbookViewId="0">
      <selection activeCell="G40" sqref="G40"/>
    </sheetView>
  </sheetViews>
  <sheetFormatPr defaultRowHeight="14.4" x14ac:dyDescent="0.3"/>
  <cols>
    <col min="1" max="1" width="33.21875" bestFit="1" customWidth="1"/>
    <col min="2" max="2" width="23.6640625" bestFit="1" customWidth="1"/>
    <col min="3" max="3" width="16.109375" bestFit="1" customWidth="1"/>
    <col min="4" max="4" width="5.77734375" bestFit="1" customWidth="1"/>
    <col min="8" max="8" width="24.44140625" bestFit="1" customWidth="1"/>
  </cols>
  <sheetData>
    <row r="2" spans="1:9" x14ac:dyDescent="0.3">
      <c r="A2" t="s">
        <v>198</v>
      </c>
      <c r="B2" t="s">
        <v>199</v>
      </c>
      <c r="C2" t="s">
        <v>200</v>
      </c>
      <c r="D2" t="s">
        <v>201</v>
      </c>
    </row>
    <row r="3" spans="1:9" x14ac:dyDescent="0.3">
      <c r="A3" t="s">
        <v>202</v>
      </c>
      <c r="B3" t="s">
        <v>203</v>
      </c>
      <c r="C3">
        <v>58868.13</v>
      </c>
      <c r="D3" t="s">
        <v>204</v>
      </c>
    </row>
    <row r="5" spans="1:9" x14ac:dyDescent="0.3">
      <c r="A5" t="s">
        <v>205</v>
      </c>
      <c r="B5">
        <v>47352.314049586821</v>
      </c>
      <c r="D5" t="s">
        <v>204</v>
      </c>
    </row>
    <row r="6" spans="1:9" x14ac:dyDescent="0.3">
      <c r="A6" t="s">
        <v>206</v>
      </c>
      <c r="B6">
        <v>148.01652892561984</v>
      </c>
    </row>
    <row r="7" spans="1:9" x14ac:dyDescent="0.3">
      <c r="A7" t="s">
        <v>207</v>
      </c>
      <c r="B7">
        <v>14575.661157024797</v>
      </c>
    </row>
    <row r="8" spans="1:9" x14ac:dyDescent="0.3">
      <c r="A8" t="s">
        <v>206</v>
      </c>
      <c r="B8">
        <v>444.04958677685948</v>
      </c>
    </row>
    <row r="9" spans="1:9" x14ac:dyDescent="0.3">
      <c r="A9" t="s">
        <v>208</v>
      </c>
      <c r="B9">
        <v>-5621.8595041322315</v>
      </c>
      <c r="D9" t="s">
        <v>204</v>
      </c>
      <c r="H9" s="1" t="s">
        <v>230</v>
      </c>
      <c r="I9" t="str">
        <f>H9&amp;" = []"</f>
        <v>date_time = []</v>
      </c>
    </row>
    <row r="10" spans="1:9" x14ac:dyDescent="0.3">
      <c r="A10" t="s">
        <v>206</v>
      </c>
      <c r="B10">
        <v>0</v>
      </c>
      <c r="H10" s="1" t="s">
        <v>231</v>
      </c>
      <c r="I10" t="str">
        <f t="shared" ref="I10:I35" si="0">H10&amp;" = []"</f>
        <v>settlement_id = []</v>
      </c>
    </row>
    <row r="11" spans="1:9" x14ac:dyDescent="0.3">
      <c r="A11" t="s">
        <v>209</v>
      </c>
      <c r="B11">
        <v>-1351.1983471074379</v>
      </c>
      <c r="H11" s="1" t="s">
        <v>7</v>
      </c>
      <c r="I11" t="str">
        <f t="shared" si="0"/>
        <v>type = []</v>
      </c>
    </row>
    <row r="12" spans="1:9" x14ac:dyDescent="0.3">
      <c r="A12" t="s">
        <v>206</v>
      </c>
      <c r="B12">
        <v>0</v>
      </c>
      <c r="H12" s="1" t="s">
        <v>232</v>
      </c>
      <c r="I12" t="str">
        <f t="shared" si="0"/>
        <v>order_id = []</v>
      </c>
    </row>
    <row r="13" spans="1:9" x14ac:dyDescent="0.3">
      <c r="A13" t="s">
        <v>210</v>
      </c>
      <c r="C13">
        <v>55546.983471074433</v>
      </c>
      <c r="D13" t="s">
        <v>211</v>
      </c>
      <c r="H13" s="1" t="s">
        <v>9</v>
      </c>
      <c r="I13" t="str">
        <f t="shared" si="0"/>
        <v>sku = []</v>
      </c>
    </row>
    <row r="14" spans="1:9" x14ac:dyDescent="0.3">
      <c r="H14" s="1" t="s">
        <v>10</v>
      </c>
      <c r="I14" t="str">
        <f t="shared" si="0"/>
        <v>description = []</v>
      </c>
    </row>
    <row r="15" spans="1:9" x14ac:dyDescent="0.3">
      <c r="A15" t="s">
        <v>212</v>
      </c>
      <c r="B15">
        <v>2613.4000000000124</v>
      </c>
      <c r="D15" t="s">
        <v>204</v>
      </c>
      <c r="H15" s="1" t="s">
        <v>11</v>
      </c>
      <c r="I15" t="str">
        <f t="shared" si="0"/>
        <v>quantity = []</v>
      </c>
    </row>
    <row r="16" spans="1:9" x14ac:dyDescent="0.3">
      <c r="A16" t="s">
        <v>213</v>
      </c>
      <c r="B16">
        <v>2263.2000000000121</v>
      </c>
      <c r="H16" s="1" t="s">
        <v>12</v>
      </c>
      <c r="I16" t="str">
        <f t="shared" si="0"/>
        <v>marketplace = []</v>
      </c>
    </row>
    <row r="17" spans="1:9" x14ac:dyDescent="0.3">
      <c r="A17" t="s">
        <v>214</v>
      </c>
      <c r="B17">
        <v>0</v>
      </c>
      <c r="H17" s="1" t="s">
        <v>13</v>
      </c>
      <c r="I17" t="str">
        <f t="shared" si="0"/>
        <v>fulfilment = []</v>
      </c>
    </row>
    <row r="18" spans="1:9" x14ac:dyDescent="0.3">
      <c r="A18" t="s">
        <v>215</v>
      </c>
      <c r="B18">
        <v>15.2</v>
      </c>
      <c r="H18" s="1" t="s">
        <v>233</v>
      </c>
      <c r="I18" t="str">
        <f t="shared" si="0"/>
        <v>order_city = []</v>
      </c>
    </row>
    <row r="19" spans="1:9" x14ac:dyDescent="0.3">
      <c r="A19" t="s">
        <v>216</v>
      </c>
      <c r="B19">
        <v>335</v>
      </c>
      <c r="H19" s="1" t="s">
        <v>234</v>
      </c>
      <c r="I19" t="str">
        <f t="shared" si="0"/>
        <v>order_state = []</v>
      </c>
    </row>
    <row r="20" spans="1:9" x14ac:dyDescent="0.3">
      <c r="A20" t="s">
        <v>217</v>
      </c>
      <c r="B20">
        <v>69.88000000000001</v>
      </c>
      <c r="D20" t="s">
        <v>204</v>
      </c>
      <c r="H20" s="1" t="s">
        <v>235</v>
      </c>
      <c r="I20" t="str">
        <f t="shared" si="0"/>
        <v>order_postal = []</v>
      </c>
    </row>
    <row r="21" spans="1:9" x14ac:dyDescent="0.3">
      <c r="A21" t="s">
        <v>218</v>
      </c>
      <c r="B21">
        <v>0</v>
      </c>
      <c r="D21" t="s">
        <v>204</v>
      </c>
      <c r="H21" s="1" t="s">
        <v>236</v>
      </c>
      <c r="I21" t="str">
        <f t="shared" si="0"/>
        <v>tax_collection_model = []</v>
      </c>
    </row>
    <row r="22" spans="1:9" x14ac:dyDescent="0.3">
      <c r="A22" t="s">
        <v>219</v>
      </c>
      <c r="B22">
        <v>17.163599999999999</v>
      </c>
      <c r="D22" t="s">
        <v>204</v>
      </c>
      <c r="H22" s="1" t="s">
        <v>237</v>
      </c>
      <c r="I22" t="str">
        <f t="shared" si="0"/>
        <v>product_sales = []</v>
      </c>
    </row>
    <row r="23" spans="1:9" x14ac:dyDescent="0.3">
      <c r="A23" t="s">
        <v>220</v>
      </c>
      <c r="B23">
        <v>43.00383699999999</v>
      </c>
      <c r="D23" t="s">
        <v>204</v>
      </c>
      <c r="H23" s="1" t="s">
        <v>238</v>
      </c>
      <c r="I23" t="str">
        <f t="shared" si="0"/>
        <v>product_sales_tax = []</v>
      </c>
    </row>
    <row r="24" spans="1:9" x14ac:dyDescent="0.3">
      <c r="A24" t="s">
        <v>221</v>
      </c>
      <c r="B24">
        <v>18.330412000000013</v>
      </c>
      <c r="D24" t="s">
        <v>204</v>
      </c>
      <c r="H24" s="1" t="s">
        <v>239</v>
      </c>
      <c r="I24" t="str">
        <f t="shared" si="0"/>
        <v>postage_credits = []</v>
      </c>
    </row>
    <row r="25" spans="1:9" x14ac:dyDescent="0.3">
      <c r="A25" t="s">
        <v>222</v>
      </c>
      <c r="B25">
        <v>0</v>
      </c>
      <c r="D25" t="s">
        <v>204</v>
      </c>
      <c r="H25" s="1" t="s">
        <v>240</v>
      </c>
      <c r="I25" t="str">
        <f t="shared" si="0"/>
        <v>shipping_credits_tax = []</v>
      </c>
    </row>
    <row r="26" spans="1:9" x14ac:dyDescent="0.3">
      <c r="A26" t="s">
        <v>223</v>
      </c>
      <c r="B26">
        <v>-416.65289300000001</v>
      </c>
      <c r="D26" t="s">
        <v>204</v>
      </c>
      <c r="H26" s="1" t="s">
        <v>241</v>
      </c>
      <c r="I26" t="str">
        <f t="shared" si="0"/>
        <v>gift_wrap_credits = []</v>
      </c>
    </row>
    <row r="27" spans="1:9" x14ac:dyDescent="0.3">
      <c r="A27" t="s">
        <v>224</v>
      </c>
      <c r="B27">
        <v>0</v>
      </c>
      <c r="D27" t="s">
        <v>204</v>
      </c>
      <c r="H27" s="1" t="s">
        <v>242</v>
      </c>
      <c r="I27" t="str">
        <f t="shared" si="0"/>
        <v>giftwrap_credits_tax = []</v>
      </c>
    </row>
    <row r="28" spans="1:9" x14ac:dyDescent="0.3">
      <c r="A28" t="s">
        <v>225</v>
      </c>
      <c r="B28">
        <v>4488.4290669999955</v>
      </c>
      <c r="D28" t="s">
        <v>204</v>
      </c>
      <c r="H28" s="1" t="s">
        <v>243</v>
      </c>
      <c r="I28" t="str">
        <f t="shared" si="0"/>
        <v>promotional_rebates = []</v>
      </c>
    </row>
    <row r="29" spans="1:9" x14ac:dyDescent="0.3">
      <c r="A29" t="s">
        <v>226</v>
      </c>
      <c r="B29">
        <v>5040.8887500000046</v>
      </c>
      <c r="D29">
        <v>7.4999999999999997E-2</v>
      </c>
      <c r="H29" s="1" t="s">
        <v>244</v>
      </c>
      <c r="I29" t="str">
        <f t="shared" si="0"/>
        <v>promotional_rebates_tax = []</v>
      </c>
    </row>
    <row r="30" spans="1:9" x14ac:dyDescent="0.3">
      <c r="A30" t="s">
        <v>227</v>
      </c>
      <c r="C30">
        <v>11874.442773000013</v>
      </c>
      <c r="D30" t="s">
        <v>228</v>
      </c>
      <c r="H30" s="1" t="s">
        <v>245</v>
      </c>
      <c r="I30" t="str">
        <f t="shared" si="0"/>
        <v>marketplace_withheld_tax = []</v>
      </c>
    </row>
    <row r="31" spans="1:9" x14ac:dyDescent="0.3">
      <c r="H31" s="1" t="s">
        <v>246</v>
      </c>
      <c r="I31" t="str">
        <f t="shared" si="0"/>
        <v>selling_fees = []</v>
      </c>
    </row>
    <row r="32" spans="1:9" x14ac:dyDescent="0.3">
      <c r="A32" t="s">
        <v>229</v>
      </c>
      <c r="C32">
        <v>43672.540698074416</v>
      </c>
      <c r="H32" s="1" t="s">
        <v>247</v>
      </c>
      <c r="I32" t="str">
        <f t="shared" si="0"/>
        <v>fba_fees = []</v>
      </c>
    </row>
    <row r="33" spans="8:9" x14ac:dyDescent="0.3">
      <c r="H33" s="1" t="s">
        <v>248</v>
      </c>
      <c r="I33" t="str">
        <f t="shared" si="0"/>
        <v>other_transaction_fees = []</v>
      </c>
    </row>
    <row r="34" spans="8:9" x14ac:dyDescent="0.3">
      <c r="H34" s="1" t="s">
        <v>30</v>
      </c>
      <c r="I34" t="str">
        <f t="shared" si="0"/>
        <v>other = []</v>
      </c>
    </row>
    <row r="35" spans="8:9" x14ac:dyDescent="0.3">
      <c r="H35" s="1" t="s">
        <v>31</v>
      </c>
      <c r="I35" t="str">
        <f t="shared" si="0"/>
        <v>total = []</v>
      </c>
    </row>
  </sheetData>
  <conditionalFormatting sqref="H9:H35">
    <cfRule type="containsBlanks" dxfId="3" priority="1">
      <formula>LEN(TRIM(H9))=0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BC9030-1F8E-4469-8691-0E39377EA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1DFAB-A197-4CE4-A92F-8BDEE1C944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Translated Column Headers</vt:lpstr>
      <vt:lpstr>Translated Type of Payment</vt:lpstr>
      <vt:lpstr>Translated Date Time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Rutger</dc:creator>
  <cp:lastModifiedBy>Sem Janssen | Platform Control</cp:lastModifiedBy>
  <dcterms:created xsi:type="dcterms:W3CDTF">2015-06-05T18:19:34Z</dcterms:created>
  <dcterms:modified xsi:type="dcterms:W3CDTF">2025-07-03T11:50:43Z</dcterms:modified>
</cp:coreProperties>
</file>